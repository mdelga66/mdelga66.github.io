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mateo_1j2xewk\Downloads\"/>
    </mc:Choice>
  </mc:AlternateContent>
  <xr:revisionPtr revIDLastSave="0" documentId="13_ncr:1_{29218176-CEB9-494C-B135-0E44D3D7A3B8}" xr6:coauthVersionLast="47" xr6:coauthVersionMax="47" xr10:uidLastSave="{00000000-0000-0000-0000-000000000000}"/>
  <bookViews>
    <workbookView xWindow="-83" yWindow="0" windowWidth="10965" windowHeight="12863"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27" i="1"/>
  <c r="G22" i="1"/>
  <c r="G21" i="1"/>
  <c r="G19" i="1"/>
  <c r="G18" i="1"/>
  <c r="G23" i="1" s="1"/>
  <c r="G25" i="1" s="1"/>
  <c r="G9" i="1"/>
  <c r="G2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<sst xmlns="http://schemas.openxmlformats.org/spreadsheetml/2006/main" count="77" uniqueCount="44">
  <si>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</si>
  <si>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</si>
  <si>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</si>
  <si>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</si>
  <si>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</si>
  <si>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</si>
  <si>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</si>
  <si>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</si>
  <si>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</si>
  <si>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</si>
  <si>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</si>
  <si>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</si>
  <si>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</si>
  <si>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</si>
  <si>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</si>
  <si>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</si>
  <si>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</si>
  <si>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</si>
  <si>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</si>
  <si>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</si>
  <si>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</si>
  <si>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</si>
  <si>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</si>
  <si>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</si>
  <si>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</si>
  <si>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Power Rails Connected to External Power Source 1</t>
  </si>
  <si>
    <t>Total Remaining Current Available on External Power Source 1</t>
  </si>
  <si>
    <t>Power Budget</t>
  </si>
  <si>
    <t>N/A</t>
  </si>
  <si>
    <t>Joseph, William, Mateo, Sultan</t>
  </si>
  <si>
    <t>Op Amp</t>
  </si>
  <si>
    <t>Electret Microphone</t>
  </si>
  <si>
    <t>CMC-6027-24T</t>
  </si>
  <si>
    <t>2–10 V</t>
  </si>
  <si>
    <t>PIC18F57Q43 Curiosity Nano VBUS</t>
  </si>
  <si>
    <t>DM164150</t>
  </si>
  <si>
    <t>5V</t>
  </si>
  <si>
    <t>RadioLink</t>
  </si>
  <si>
    <t>1.8–6.0 V</t>
  </si>
  <si>
    <t xml:space="preserve"> +3.3V Power Rail</t>
  </si>
  <si>
    <t>MCP6004</t>
  </si>
  <si>
    <t>3.3V</t>
  </si>
  <si>
    <t>+3.3V Rail — PIC18F57Q43 Curiosity Nano VBUS (DM164150)</t>
  </si>
  <si>
    <t>DC Power 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</si>
</sst>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0"/>
      <color rgb="FF000000"/>
      <name val="Arial Unicode MS"/>
    </font>
    <font>
      <sz val="12"/>
      <color rgb="FF000000"/>
      <name val="Arial"/>
      <family val="2"/>
    </font>
    <font>
      <b/>
      <sz val="12"/>
      <name val="Calibri"/>
      <family val="2"/>
    </font>
    <font>
      <b/>
      <sz val="12"/>
      <color rgb="FF000000"/>
      <name val="Calibri"/>
      <family val="2"/>
    </font>
    <font>
      <sz val="12"/>
      <color rgb="FF000000"/>
      <name val="Calibri"/>
      <family val="2"/>
    </font>
    <font>
      <b/>
      <i/>
      <sz val="12"/>
      <color rgb="FF000000"/>
      <name val="Arial"/>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9">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5" fillId="0" borderId="11" xfId="0" applyFont="1" applyBorder="1" applyAlignment="1">
      <alignment wrapText="1"/>
    </xf>
    <xf numFmtId="0" fontId="3" fillId="0" borderId="13" xfId="0" applyFont="1" applyBorder="1"/>
    <xf numFmtId="0" fontId="10" fillId="0" borderId="0" xfId="0" applyFont="1"/>
    <xf numFmtId="0" fontId="11" fillId="0" borderId="0" xfId="0" applyFont="1" applyAlignment="1">
      <alignment horizontal="center"/>
    </xf>
    <xf numFmtId="0" fontId="8" fillId="0" borderId="0" xfId="0" applyFont="1"/>
    <xf numFmtId="0" fontId="0" fillId="0" borderId="9" xfId="0" applyBorder="1" applyAlignment="1">
      <alignment horizontal="center"/>
    </xf>
    <xf numFmtId="0" fontId="7" fillId="0" borderId="1" xfId="0" applyFont="1" applyBorder="1"/>
    <xf numFmtId="0" fontId="2" fillId="0" borderId="16" xfId="0" applyFont="1" applyBorder="1"/>
    <xf numFmtId="0" fontId="4" fillId="0" borderId="17" xfId="0" applyFont="1" applyBorder="1" applyAlignment="1">
      <alignment horizontal="center"/>
    </xf>
    <xf numFmtId="0" fontId="4" fillId="0" borderId="18" xfId="0" applyFont="1" applyBorder="1" applyAlignment="1">
      <alignment horizontal="center"/>
    </xf>
    <xf numFmtId="0" fontId="4" fillId="0" borderId="9" xfId="0" applyFont="1" applyBorder="1" applyAlignment="1">
      <alignment horizontal="center"/>
    </xf>
    <xf numFmtId="0" fontId="4" fillId="0" borderId="14" xfId="0" applyFont="1" applyBorder="1" applyAlignment="1">
      <alignment horizontal="center"/>
    </xf>
    <xf numFmtId="0" fontId="5" fillId="0" borderId="10" xfId="0" applyFont="1" applyBorder="1"/>
    <xf numFmtId="0" fontId="2" fillId="0" borderId="5" xfId="0" applyFont="1" applyBorder="1" applyAlignment="1">
      <alignment horizontal="center"/>
    </xf>
    <xf numFmtId="0" fontId="4" fillId="0" borderId="5" xfId="0" applyFont="1" applyBorder="1" applyAlignment="1">
      <alignment horizontal="center"/>
    </xf>
    <xf numFmtId="0" fontId="4" fillId="0" borderId="5" xfId="0" applyFont="1" applyBorder="1" applyAlignment="1">
      <alignment horizontal="center" wrapText="1"/>
    </xf>
    <xf numFmtId="0" fontId="4" fillId="0" borderId="6" xfId="0" applyFont="1" applyBorder="1" applyAlignment="1">
      <alignment horizontal="center"/>
    </xf>
    <xf numFmtId="0" fontId="4" fillId="0" borderId="1" xfId="0" applyFont="1" applyBorder="1" applyAlignment="1">
      <alignment horizontal="center"/>
    </xf>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6" fillId="0" borderId="0" xfId="0" applyFont="1" applyAlignment="1">
      <alignment wrapText="1"/>
    </xf>
    <xf numFmtId="0" fontId="9" fillId="0" borderId="0" xfId="0" applyFont="1" applyAlignment="1">
      <alignment horizontal="left" wrapText="1"/>
    </xf>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5" fillId="0" borderId="2" xfId="0" applyFont="1" applyBorder="1" applyAlignment="1">
      <alignment wrapText="1"/>
    </xf>
    <xf numFmtId="0" fontId="3" fillId="0" borderId="15" xfId="0" applyFont="1" applyBorder="1"/>
    <xf numFmtId="0" fontId="5" fillId="0" borderId="0" xfId="0" applyFont="1"/>
    <xf numFmtId="0" fontId="12" fillId="0" borderId="1" xfId="0" applyFont="1" applyBorder="1" applyAlignment="1">
      <alignment horizontal="left"/>
    </xf>
    <xf numFmtId="0" fontId="13" fillId="0" borderId="1" xfId="0" applyFont="1" applyBorder="1" applyAlignment="1">
      <alignment horizontal="left"/>
    </xf>
    <xf numFmtId="0" fontId="14" fillId="0" borderId="0" xfId="0" applyFont="1"/>
    <xf numFmtId="0" fontId="15" fillId="3" borderId="10" xfId="0" applyFont="1" applyFill="1" applyBorder="1"/>
    <xf numFmtId="0" fontId="11" fillId="0" borderId="0" xfId="0" applyFont="1" applyAlignment="1">
      <alignment horizontal="lef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9"/>
  <sheetViews>
    <sheetView tabSelected="1" zoomScale="60" zoomScaleNormal="60" workbookViewId="0">
      <selection activeCell="D35" sqref="D35"/>
    </sheetView>
  </sheetViews>
  <sheetFormatPr defaultColWidth="13.5" defaultRowHeight="15.75" customHeight="1"/>
  <cols>
    <col min="1" max="1" width="26.125" customWidth="1"/>
    <col min="2" max="2" width="35.7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c r="A1" s="61" t="s">
        <v>27</v>
      </c>
      <c r="B1" s="62"/>
      <c r="C1" s="62"/>
      <c r="D1" s="62"/>
      <c r="E1" s="62"/>
      <c r="F1" s="62"/>
      <c r="G1" s="62"/>
      <c r="H1" s="62"/>
    </row>
    <row r="2" spans="1:8" ht="15" customHeight="1">
      <c r="A2" s="1" t="s">
        <v>0</v>
      </c>
      <c r="B2" s="74">
        <v>105</v>
      </c>
      <c r="D2" s="2"/>
      <c r="E2" s="2"/>
    </row>
    <row r="3" spans="1:8" ht="15" customHeight="1">
      <c r="A3" s="3" t="s">
        <v>1</v>
      </c>
      <c r="B3" s="75" t="s">
        <v>37</v>
      </c>
      <c r="C3" s="4"/>
      <c r="D3" s="2"/>
      <c r="E3" s="2"/>
      <c r="F3" s="4"/>
      <c r="G3" s="4"/>
      <c r="H3" s="4"/>
    </row>
    <row r="4" spans="1:8" ht="15" customHeight="1">
      <c r="A4" s="3" t="s">
        <v>2</v>
      </c>
      <c r="B4" s="75" t="s">
        <v>29</v>
      </c>
      <c r="C4" s="4"/>
      <c r="D4" s="2"/>
      <c r="E4" s="2"/>
      <c r="F4" s="4"/>
      <c r="G4" s="4"/>
      <c r="H4" s="4"/>
    </row>
    <row r="5" spans="1:8" ht="15" customHeight="1">
      <c r="A5" s="3" t="s">
        <v>3</v>
      </c>
      <c r="B5" s="75">
        <v>2</v>
      </c>
      <c r="C5" s="4"/>
      <c r="D5" s="2"/>
      <c r="E5" s="2"/>
      <c r="F5" s="4"/>
      <c r="G5" s="4"/>
      <c r="H5" s="4"/>
    </row>
    <row r="6" spans="1:8" ht="15" customHeight="1">
      <c r="A6" s="5"/>
      <c r="B6" s="4"/>
      <c r="C6" s="4"/>
      <c r="D6" s="2"/>
      <c r="E6" s="2"/>
      <c r="F6" s="4"/>
      <c r="G6" s="4"/>
      <c r="H6" s="4"/>
    </row>
    <row r="7" spans="1:8" ht="15" customHeight="1">
      <c r="A7" s="63" t="s">
        <v>4</v>
      </c>
      <c r="B7" s="64"/>
      <c r="C7" s="64"/>
      <c r="D7" s="64"/>
      <c r="E7" s="64"/>
      <c r="F7" s="64"/>
      <c r="G7" s="64"/>
      <c r="H7" s="65"/>
    </row>
    <row r="8" spans="1:8" ht="15" customHeight="1">
      <c r="A8" s="6" t="s">
        <v>5</v>
      </c>
      <c r="B8" s="7" t="s">
        <v>6</v>
      </c>
      <c r="C8" s="7" t="s">
        <v>7</v>
      </c>
      <c r="D8" s="8" t="s">
        <v>8</v>
      </c>
      <c r="E8" s="8" t="s">
        <v>9</v>
      </c>
      <c r="F8" s="9" t="s">
        <v>10</v>
      </c>
      <c r="G8" s="10" t="s">
        <v>11</v>
      </c>
      <c r="H8" s="10" t="s">
        <v>12</v>
      </c>
    </row>
    <row r="9" spans="1:8" ht="15" customHeight="1">
      <c r="A9" s="11"/>
      <c r="B9" t="s">
        <v>30</v>
      </c>
      <c r="C9" s="76" t="s">
        <v>40</v>
      </c>
      <c r="D9" s="76" t="s">
        <v>38</v>
      </c>
      <c r="E9" s="13">
        <v>1</v>
      </c>
      <c r="F9">
        <v>0.4</v>
      </c>
      <c r="G9" s="14">
        <f>E9*F9</f>
        <v>0.4</v>
      </c>
      <c r="H9" s="15" t="s">
        <v>13</v>
      </c>
    </row>
    <row r="10" spans="1:8" ht="15" customHeight="1">
      <c r="A10" s="11"/>
      <c r="B10" t="s">
        <v>31</v>
      </c>
      <c r="C10" t="s">
        <v>32</v>
      </c>
      <c r="D10" t="s">
        <v>33</v>
      </c>
      <c r="E10" s="13">
        <v>1</v>
      </c>
      <c r="F10">
        <v>0.5</v>
      </c>
      <c r="G10" s="14">
        <f>E10*F10</f>
        <v>0.5</v>
      </c>
      <c r="H10" s="15" t="s">
        <v>13</v>
      </c>
    </row>
    <row r="11" spans="1:8" ht="15" customHeight="1">
      <c r="A11" s="11"/>
    </row>
    <row r="12" spans="1:8" ht="15" customHeight="1">
      <c r="A12" s="11"/>
      <c r="B12" s="16"/>
      <c r="C12" s="16"/>
      <c r="D12" s="17"/>
      <c r="E12" s="12"/>
      <c r="F12" s="16"/>
      <c r="G12" s="14"/>
      <c r="H12" s="15"/>
    </row>
    <row r="13" spans="1:8" ht="15" customHeight="1">
      <c r="A13" s="11"/>
      <c r="C13" s="16"/>
      <c r="D13" s="12"/>
      <c r="E13" s="13"/>
      <c r="G13" s="14"/>
      <c r="H13" s="15"/>
    </row>
    <row r="14" spans="1:8" ht="15" customHeight="1">
      <c r="A14" s="11"/>
      <c r="B14" s="16"/>
      <c r="D14" s="12"/>
      <c r="E14" s="13"/>
      <c r="G14" s="14"/>
      <c r="H14" s="15"/>
    </row>
    <row r="15" spans="1:8" ht="15" customHeight="1">
      <c r="A15" s="18"/>
      <c r="B15" s="5"/>
      <c r="C15" s="4"/>
      <c r="D15" s="19"/>
      <c r="E15" s="2"/>
      <c r="F15" s="4"/>
      <c r="G15" s="20"/>
      <c r="H15" s="20"/>
    </row>
    <row r="16" spans="1:8" ht="15" customHeight="1">
      <c r="A16" s="63" t="s">
        <v>14</v>
      </c>
      <c r="B16" s="64"/>
      <c r="C16" s="64"/>
      <c r="D16" s="64"/>
      <c r="E16" s="64"/>
      <c r="F16" s="64"/>
      <c r="G16" s="64"/>
      <c r="H16" s="65"/>
    </row>
    <row r="17" spans="1:8" ht="15" customHeight="1">
      <c r="A17" s="77" t="s">
        <v>39</v>
      </c>
      <c r="B17" s="7" t="s">
        <v>6</v>
      </c>
      <c r="C17" s="7" t="s">
        <v>7</v>
      </c>
      <c r="D17" s="8" t="s">
        <v>8</v>
      </c>
      <c r="E17" s="8" t="s">
        <v>9</v>
      </c>
      <c r="F17" s="9" t="s">
        <v>10</v>
      </c>
      <c r="G17" s="30" t="s">
        <v>11</v>
      </c>
      <c r="H17" s="30" t="s">
        <v>12</v>
      </c>
    </row>
    <row r="18" spans="1:8" ht="15" customHeight="1">
      <c r="A18" s="11"/>
      <c r="B18" t="s">
        <v>30</v>
      </c>
      <c r="C18" t="s">
        <v>40</v>
      </c>
      <c r="D18" s="76" t="s">
        <v>38</v>
      </c>
      <c r="E18" s="13">
        <v>1</v>
      </c>
      <c r="F18">
        <v>0.4</v>
      </c>
      <c r="G18" s="14">
        <f t="shared" ref="G18:G22" si="0">E18*F18</f>
        <v>0.4</v>
      </c>
      <c r="H18" s="15" t="s">
        <v>13</v>
      </c>
    </row>
    <row r="19" spans="1:8" ht="15" customHeight="1">
      <c r="A19" s="11"/>
      <c r="B19" t="s">
        <v>31</v>
      </c>
      <c r="C19" t="s">
        <v>32</v>
      </c>
      <c r="D19" t="s">
        <v>33</v>
      </c>
      <c r="E19" s="13">
        <v>1</v>
      </c>
      <c r="F19">
        <v>0.5</v>
      </c>
      <c r="G19" s="14">
        <f t="shared" si="0"/>
        <v>0.5</v>
      </c>
      <c r="H19" s="15" t="s">
        <v>13</v>
      </c>
    </row>
    <row r="20" spans="1:8" ht="15" customHeight="1">
      <c r="A20" s="11"/>
      <c r="E20" s="13"/>
      <c r="G20" s="14"/>
      <c r="H20" s="15"/>
    </row>
    <row r="21" spans="1:8" ht="15" customHeight="1">
      <c r="A21" s="11"/>
      <c r="D21" s="13"/>
      <c r="E21" s="13"/>
      <c r="G21" s="14">
        <f t="shared" si="0"/>
        <v>0</v>
      </c>
      <c r="H21" s="15" t="s">
        <v>13</v>
      </c>
    </row>
    <row r="22" spans="1:8" ht="15" customHeight="1">
      <c r="A22" s="11"/>
      <c r="D22" s="13"/>
      <c r="E22" s="13"/>
      <c r="G22" s="14">
        <f t="shared" si="0"/>
        <v>0</v>
      </c>
      <c r="H22" s="15" t="s">
        <v>13</v>
      </c>
    </row>
    <row r="23" spans="1:8" ht="15" customHeight="1">
      <c r="A23" s="11"/>
      <c r="B23" s="22" t="s">
        <v>15</v>
      </c>
      <c r="G23" s="14">
        <f>SUM(G18:G22)</f>
        <v>0.9</v>
      </c>
      <c r="H23" s="15" t="s">
        <v>13</v>
      </c>
    </row>
    <row r="24" spans="1:8" ht="15" customHeight="1">
      <c r="A24" s="11"/>
      <c r="B24" s="22" t="s">
        <v>16</v>
      </c>
      <c r="G24" s="23">
        <v>0.25</v>
      </c>
      <c r="H24" s="23"/>
    </row>
    <row r="25" spans="1:8" ht="15" customHeight="1">
      <c r="A25" s="24"/>
      <c r="B25" s="40" t="s">
        <v>17</v>
      </c>
      <c r="G25" s="14">
        <f>G23*(1+G24)</f>
        <v>1.125</v>
      </c>
      <c r="H25" s="15" t="s">
        <v>13</v>
      </c>
    </row>
    <row r="26" spans="1:8" ht="15" customHeight="1">
      <c r="A26" s="25"/>
      <c r="B26" s="26"/>
      <c r="C26" s="26"/>
      <c r="D26" s="12"/>
      <c r="E26" s="12"/>
      <c r="F26" s="27"/>
      <c r="G26" s="28"/>
      <c r="H26" s="14"/>
    </row>
    <row r="27" spans="1:8" ht="15" customHeight="1">
      <c r="A27" s="25" t="s">
        <v>18</v>
      </c>
      <c r="B27" s="26" t="s">
        <v>34</v>
      </c>
      <c r="C27" s="26" t="s">
        <v>35</v>
      </c>
      <c r="D27" s="46" t="s">
        <v>41</v>
      </c>
      <c r="E27" s="12">
        <v>1</v>
      </c>
      <c r="F27" s="27">
        <v>500</v>
      </c>
      <c r="G27" s="28">
        <f>E27*F27</f>
        <v>500</v>
      </c>
      <c r="H27" s="15" t="s">
        <v>13</v>
      </c>
    </row>
    <row r="28" spans="1:8" ht="15" customHeight="1">
      <c r="A28" s="29"/>
      <c r="B28" s="41" t="s">
        <v>19</v>
      </c>
      <c r="C28" s="42"/>
      <c r="D28" s="42"/>
      <c r="E28" s="42"/>
      <c r="F28" s="42"/>
      <c r="G28" s="28">
        <f>G27-G25</f>
        <v>498.875</v>
      </c>
      <c r="H28" s="15" t="s">
        <v>13</v>
      </c>
    </row>
    <row r="29" spans="1:8" ht="15" customHeight="1">
      <c r="A29" s="37" t="s">
        <v>20</v>
      </c>
      <c r="B29" s="76" t="s">
        <v>42</v>
      </c>
      <c r="C29" s="38"/>
      <c r="D29" s="38"/>
      <c r="E29" s="38"/>
      <c r="F29" s="38"/>
      <c r="G29" s="38"/>
      <c r="H29" s="39"/>
    </row>
    <row r="30" spans="1:8" ht="15" customHeight="1">
      <c r="A30" s="43"/>
      <c r="B30" s="42"/>
      <c r="C30" s="42"/>
      <c r="D30" s="42"/>
      <c r="E30" s="42"/>
      <c r="F30" s="42"/>
      <c r="G30" s="42"/>
      <c r="H30" s="44"/>
    </row>
    <row r="31" spans="1:8" ht="15" customHeight="1">
      <c r="A31" s="37" t="s">
        <v>21</v>
      </c>
      <c r="B31" s="38"/>
      <c r="C31" s="38"/>
      <c r="D31" s="38"/>
      <c r="E31" s="38"/>
      <c r="F31" s="38"/>
      <c r="G31" s="38"/>
      <c r="H31" s="39"/>
    </row>
    <row r="32" spans="1:8" ht="15" customHeight="1">
      <c r="A32" s="21" t="s">
        <v>22</v>
      </c>
      <c r="B32" s="7" t="s">
        <v>6</v>
      </c>
      <c r="C32" s="7" t="s">
        <v>7</v>
      </c>
      <c r="D32" s="8" t="s">
        <v>8</v>
      </c>
      <c r="E32" s="31" t="s">
        <v>23</v>
      </c>
      <c r="F32" s="9" t="s">
        <v>10</v>
      </c>
      <c r="G32" s="30" t="s">
        <v>11</v>
      </c>
      <c r="H32" s="30" t="s">
        <v>12</v>
      </c>
    </row>
    <row r="33" spans="1:8" ht="15" customHeight="1">
      <c r="A33" s="32" t="s">
        <v>24</v>
      </c>
      <c r="B33" s="78" t="s">
        <v>43</v>
      </c>
      <c r="C33" s="12" t="s">
        <v>28</v>
      </c>
      <c r="D33" s="12" t="s">
        <v>36</v>
      </c>
      <c r="E33" s="12" t="s">
        <v>36</v>
      </c>
      <c r="F33" s="27">
        <v>500</v>
      </c>
      <c r="G33" s="33">
        <v>500</v>
      </c>
      <c r="H33" s="34" t="s">
        <v>13</v>
      </c>
    </row>
    <row r="34" spans="1:8" ht="15" customHeight="1">
      <c r="A34" s="35"/>
      <c r="B34" s="26"/>
      <c r="C34" s="26"/>
      <c r="D34" s="12"/>
      <c r="E34" s="12"/>
      <c r="F34" s="27"/>
      <c r="G34" s="28"/>
      <c r="H34" s="36"/>
    </row>
    <row r="35" spans="1:8" ht="15" customHeight="1">
      <c r="A35" s="68" t="s">
        <v>25</v>
      </c>
      <c r="B35" s="76" t="s">
        <v>42</v>
      </c>
      <c r="C35" s="26"/>
      <c r="D35" s="46" t="s">
        <v>41</v>
      </c>
      <c r="E35" s="12"/>
      <c r="F35" s="27"/>
      <c r="G35" s="28"/>
      <c r="H35" s="15"/>
    </row>
    <row r="36" spans="1:8" ht="15" customHeight="1">
      <c r="A36" s="69"/>
      <c r="B36" s="26"/>
      <c r="C36" s="26"/>
      <c r="D36" s="12"/>
      <c r="E36" s="12"/>
      <c r="F36" s="27"/>
      <c r="G36" s="28"/>
      <c r="H36" s="15"/>
    </row>
    <row r="37" spans="1:8" ht="15" customHeight="1">
      <c r="A37" s="69"/>
      <c r="B37" s="16"/>
      <c r="D37" s="12"/>
      <c r="E37" s="13"/>
      <c r="G37" s="14"/>
      <c r="H37" s="15"/>
    </row>
    <row r="38" spans="1:8" ht="15" customHeight="1">
      <c r="A38" s="35"/>
      <c r="B38" s="70" t="s">
        <v>26</v>
      </c>
      <c r="C38" s="62"/>
      <c r="D38" s="62"/>
      <c r="E38" s="62"/>
      <c r="F38" s="62"/>
      <c r="G38" s="33">
        <v>499.27875</v>
      </c>
      <c r="H38" s="34" t="s">
        <v>13</v>
      </c>
    </row>
    <row r="39" spans="1:8" ht="15" customHeight="1">
      <c r="A39" s="35"/>
      <c r="B39" s="2"/>
      <c r="C39" s="2"/>
      <c r="D39" s="19"/>
      <c r="E39" s="19"/>
      <c r="F39" s="19"/>
      <c r="G39" s="53"/>
      <c r="H39" s="54"/>
    </row>
    <row r="40" spans="1:8" ht="15" customHeight="1">
      <c r="A40" s="55"/>
      <c r="B40" s="56"/>
      <c r="C40" s="56"/>
      <c r="D40" s="57"/>
      <c r="E40" s="58"/>
      <c r="F40" s="59"/>
      <c r="G40" s="60"/>
      <c r="H40" s="60"/>
    </row>
    <row r="41" spans="1:8" ht="15" customHeight="1">
      <c r="A41" s="32"/>
      <c r="B41" s="26"/>
      <c r="C41" s="12"/>
      <c r="D41" s="12"/>
      <c r="E41" s="12"/>
      <c r="F41" s="27"/>
      <c r="G41" s="33"/>
      <c r="H41" s="34"/>
    </row>
    <row r="42" spans="1:8" ht="15" customHeight="1">
      <c r="A42" s="35"/>
      <c r="B42" s="26"/>
      <c r="C42" s="26"/>
      <c r="D42" s="12"/>
      <c r="E42" s="12"/>
      <c r="F42" s="27"/>
      <c r="G42" s="28"/>
      <c r="H42" s="36"/>
    </row>
    <row r="43" spans="1:8" ht="15" customHeight="1">
      <c r="A43" s="68"/>
      <c r="B43" s="45"/>
      <c r="C43" s="26"/>
      <c r="D43" s="46"/>
      <c r="E43" s="12"/>
      <c r="F43" s="27"/>
      <c r="G43" s="28"/>
      <c r="H43" s="15"/>
    </row>
    <row r="44" spans="1:8" ht="15" customHeight="1">
      <c r="A44" s="69"/>
      <c r="B44" s="26"/>
      <c r="C44" s="26"/>
      <c r="D44" s="12"/>
      <c r="E44" s="12"/>
      <c r="F44" s="27"/>
      <c r="G44" s="28"/>
      <c r="H44" s="15"/>
    </row>
    <row r="45" spans="1:8" ht="15" customHeight="1">
      <c r="A45" s="69"/>
      <c r="B45" s="16"/>
      <c r="D45" s="12"/>
      <c r="E45" s="13"/>
      <c r="G45" s="14"/>
      <c r="H45" s="15"/>
    </row>
    <row r="46" spans="1:8" ht="15" customHeight="1">
      <c r="A46" s="35"/>
      <c r="B46" s="70"/>
      <c r="C46" s="62"/>
      <c r="D46" s="62"/>
      <c r="E46" s="62"/>
      <c r="F46" s="62"/>
      <c r="G46" s="33"/>
      <c r="H46" s="34"/>
    </row>
    <row r="47" spans="1:8" ht="15" customHeight="1"/>
    <row r="48" spans="1:8" ht="15" customHeight="1"/>
    <row r="49" spans="1:8" ht="15" customHeight="1"/>
    <row r="50" spans="1:8" ht="15" customHeight="1"/>
    <row r="51" spans="1:8" ht="15" customHeight="1"/>
    <row r="52" spans="1:8" ht="15" customHeight="1"/>
    <row r="53" spans="1:8" ht="15" customHeight="1"/>
    <row r="54" spans="1:8" ht="15" customHeight="1"/>
    <row r="55" spans="1:8" ht="15" customHeight="1"/>
    <row r="56" spans="1:8" ht="15" customHeight="1"/>
    <row r="57" spans="1:8" ht="15" customHeight="1"/>
    <row r="58" spans="1:8" ht="15" customHeight="1"/>
    <row r="59" spans="1:8" ht="15" customHeight="1">
      <c r="A59" s="24"/>
      <c r="B59" s="16"/>
      <c r="D59" s="47"/>
      <c r="E59" s="12"/>
      <c r="F59" s="16"/>
      <c r="G59" s="14"/>
      <c r="H59" s="48"/>
    </row>
    <row r="60" spans="1:8" ht="15" customHeight="1">
      <c r="A60" s="71"/>
      <c r="B60" s="64"/>
      <c r="C60" s="64"/>
      <c r="D60" s="64"/>
      <c r="E60" s="64"/>
      <c r="F60" s="72"/>
      <c r="G60" s="49"/>
      <c r="H60" s="49"/>
    </row>
    <row r="61" spans="1:8" ht="15" customHeight="1">
      <c r="A61" s="18"/>
      <c r="B61" s="50"/>
      <c r="C61" s="50"/>
      <c r="D61" s="51"/>
      <c r="E61" s="51"/>
      <c r="F61" s="52"/>
      <c r="G61" s="53"/>
      <c r="H61" s="20"/>
    </row>
    <row r="62" spans="1:8" ht="15" customHeight="1">
      <c r="A62" s="11"/>
      <c r="D62" s="12"/>
      <c r="E62" s="13"/>
      <c r="F62" s="16"/>
      <c r="G62" s="14"/>
      <c r="H62" s="14"/>
    </row>
    <row r="63" spans="1:8" ht="15" customHeight="1">
      <c r="A63" s="11"/>
      <c r="D63" s="13"/>
      <c r="E63" s="13"/>
      <c r="F63" s="22"/>
      <c r="G63" s="14"/>
      <c r="H63" s="15"/>
    </row>
    <row r="64" spans="1:8" ht="15" customHeight="1">
      <c r="A64" s="73"/>
      <c r="B64" s="62"/>
      <c r="C64" s="62"/>
      <c r="D64" s="62"/>
      <c r="E64" s="62"/>
      <c r="F64" s="62"/>
    </row>
    <row r="65" spans="1:8" ht="15" customHeight="1">
      <c r="A65" s="66"/>
      <c r="B65" s="62"/>
      <c r="C65" s="62"/>
      <c r="D65" s="62"/>
      <c r="E65" s="62"/>
      <c r="F65" s="62"/>
      <c r="G65" s="62"/>
      <c r="H65" s="62"/>
    </row>
    <row r="66" spans="1:8" ht="15" customHeight="1">
      <c r="A66" s="67"/>
      <c r="B66" s="62"/>
      <c r="C66" s="62"/>
      <c r="D66" s="62"/>
      <c r="E66" s="62"/>
      <c r="F66" s="62"/>
      <c r="G66" s="62"/>
      <c r="H66" s="62"/>
    </row>
    <row r="67" spans="1:8" ht="15" customHeight="1"/>
    <row r="68" spans="1:8" ht="15" customHeight="1"/>
    <row r="69" spans="1:8" ht="15" customHeight="1"/>
    <row r="70" spans="1:8" ht="15" customHeight="1"/>
    <row r="71" spans="1:8" ht="15" customHeight="1"/>
    <row r="72" spans="1:8" ht="15" customHeight="1"/>
    <row r="73" spans="1:8" ht="15" customHeight="1"/>
    <row r="74" spans="1:8" ht="15" customHeight="1"/>
    <row r="75" spans="1:8" ht="15" customHeight="1"/>
    <row r="76" spans="1:8" ht="15" customHeight="1"/>
    <row r="77" spans="1:8" ht="15" customHeight="1"/>
    <row r="78" spans="1:8" ht="15" customHeight="1"/>
    <row r="79" spans="1:8" ht="15" customHeight="1"/>
    <row r="80" spans="1:8" ht="15" customHeight="1"/>
    <row r="81" ht="15" customHeight="1"/>
    <row r="82" ht="15" customHeight="1"/>
    <row r="83" ht="15" customHeight="1"/>
    <row r="84" ht="15" customHeight="1"/>
    <row r="85" ht="15" customHeight="1"/>
    <row r="86" ht="15" customHeight="1"/>
    <row r="87" ht="15" customHeight="1"/>
    <row r="88" ht="15" customHeight="1"/>
    <row r="89" ht="15" customHeight="1"/>
  </sheetData>
  <mergeCells count="11">
    <mergeCell ref="A1:H1"/>
    <mergeCell ref="A7:H7"/>
    <mergeCell ref="A16:H16"/>
    <mergeCell ref="A65:H65"/>
    <mergeCell ref="A66:H66"/>
    <mergeCell ref="A35:A37"/>
    <mergeCell ref="B38:F38"/>
    <mergeCell ref="A43:A45"/>
    <mergeCell ref="B46:F46"/>
    <mergeCell ref="A60:F60"/>
    <mergeCell ref="A64:F64"/>
  </mergeCells>
  <conditionalFormatting sqref="G28">
    <cfRule type="cellIs" dxfId="0" priority="1" operator="lessThan">
      <formula>0</formula>
    </cfRule>
  </conditionalFormatting>
  <pageMargins left="0.7" right="0.7" top="0.75" bottom="0.75" header="0.3" footer="0.3"/>
  <pageSetup paperSize="8"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Delgado</dc:creator>
  <cp:lastModifiedBy>Mateo Delgado (Student)</cp:lastModifiedBy>
  <cp:lastPrinted>2026-10-29T17:42:42Z</cp:lastPrinted>
  <dcterms:created xsi:type="dcterms:W3CDTF">2026-10-17T02:01:33Z</dcterms:created>
  <dcterms:modified xsi:type="dcterms:W3CDTF">2026-10-29T17:43:30Z</dcterms:modified>
</cp:coreProperties>
</file>